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showInkAnnotation="0" autoCompressPictures="0"/>
  <xr:revisionPtr revIDLastSave="0" documentId="8_{58804537-7CA1-408B-8816-6F4AB998343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s" sheetId="1" r:id="rId1"/>
    <sheet name="CrossReference" sheetId="2" r:id="rId2"/>
    <sheet name="Guide" sheetId="3" r:id="rId3"/>
    <sheet name="List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2" i="2"/>
</calcChain>
</file>

<file path=xl/sharedStrings.xml><?xml version="1.0" encoding="utf-8"?>
<sst xmlns="http://schemas.openxmlformats.org/spreadsheetml/2006/main" count="205" uniqueCount="87">
  <si>
    <t>PartNumber</t>
  </si>
  <si>
    <t>Series</t>
  </si>
  <si>
    <t>Package</t>
  </si>
  <si>
    <t>Voltage</t>
  </si>
  <si>
    <t>Capacitance</t>
  </si>
  <si>
    <t>Temperature</t>
  </si>
  <si>
    <t>Dielectric</t>
  </si>
  <si>
    <t>Tolerance</t>
  </si>
  <si>
    <t>Remark</t>
  </si>
  <si>
    <t>DatasheetURL</t>
  </si>
  <si>
    <t>Status</t>
  </si>
  <si>
    <t>FV31N101J102PXG</t>
  </si>
  <si>
    <t>FV</t>
  </si>
  <si>
    <t>1206</t>
  </si>
  <si>
    <t>1kV</t>
  </si>
  <si>
    <t>100pF</t>
  </si>
  <si>
    <t>확인 필요</t>
  </si>
  <si>
    <t>NPO</t>
  </si>
  <si>
    <t>±5%</t>
  </si>
  <si>
    <t>High Voltage</t>
  </si>
  <si>
    <t>Published</t>
  </si>
  <si>
    <t>FV31N470J102PXG</t>
  </si>
  <si>
    <t>47pF</t>
  </si>
  <si>
    <t>FV31N101J202PXG</t>
  </si>
  <si>
    <t>2kV</t>
  </si>
  <si>
    <t>FV31X102K102PXG</t>
  </si>
  <si>
    <t>1nF</t>
  </si>
  <si>
    <t>X7R</t>
  </si>
  <si>
    <t>±10%</t>
  </si>
  <si>
    <t>FV31X103K102EMG</t>
  </si>
  <si>
    <t>10nF</t>
  </si>
  <si>
    <t>FV31X222K102PXG</t>
  </si>
  <si>
    <t>2.2nF</t>
  </si>
  <si>
    <t>FV31X472K202EEQ</t>
  </si>
  <si>
    <t>4.7nF</t>
  </si>
  <si>
    <t>FK42X102K502EFQ</t>
  </si>
  <si>
    <t>FK</t>
  </si>
  <si>
    <t>1808</t>
  </si>
  <si>
    <t>5kV</t>
  </si>
  <si>
    <t>Custom High Voltage</t>
  </si>
  <si>
    <t>FK42X471K502EFQ</t>
  </si>
  <si>
    <t>470pF</t>
  </si>
  <si>
    <t>FV42X102K202ECG</t>
  </si>
  <si>
    <t>FV42X152K302EFG</t>
  </si>
  <si>
    <t>3kV</t>
  </si>
  <si>
    <t>1.5nF</t>
  </si>
  <si>
    <t>FV42N680J302ECG</t>
  </si>
  <si>
    <t>68pF</t>
  </si>
  <si>
    <t>FV43X102K302EEG</t>
  </si>
  <si>
    <t>1812</t>
  </si>
  <si>
    <t>FV55X103K302EGQ</t>
  </si>
  <si>
    <t>2220</t>
  </si>
  <si>
    <t>FV56X333K202EGG</t>
  </si>
  <si>
    <t>2225</t>
  </si>
  <si>
    <t>33nF</t>
  </si>
  <si>
    <t>CompetitorManufacturer</t>
  </si>
  <si>
    <t>CompetitorPartNumber</t>
  </si>
  <si>
    <t>NormalizedCompetitorPart</t>
  </si>
  <si>
    <t>PDCCandidate</t>
  </si>
  <si>
    <t>MatchType</t>
  </si>
  <si>
    <t>Confidence</t>
  </si>
  <si>
    <t>ReviewStatus</t>
  </si>
  <si>
    <t>Notes</t>
  </si>
  <si>
    <t>Exact</t>
  </si>
  <si>
    <t>검토 필요</t>
  </si>
  <si>
    <t>검증된 매핑을 입력하세요.</t>
  </si>
  <si>
    <t>Draft</t>
  </si>
  <si>
    <t>Equivalent</t>
  </si>
  <si>
    <t>개별 사양 검토 후 Published로 변경하세요.</t>
  </si>
  <si>
    <t>CERANIX HV MLCC Search Data Guide</t>
  </si>
  <si>
    <t>Sheet</t>
  </si>
  <si>
    <t>Purpose</t>
  </si>
  <si>
    <t>Products</t>
  </si>
  <si>
    <t>제품 사양 필터 검색용. 공개할 행은 Status를 Published로 설정합니다.</t>
  </si>
  <si>
    <t>CrossReference</t>
  </si>
  <si>
    <t>기존 제조사 품번 검색용. 검증된 매핑만 입력하고 Status를 Published로 설정합니다.</t>
  </si>
  <si>
    <t>현재 원본 데이터에 온도 정보가 없어 '확인 필요'로 표시했습니다. 공식 데이터시트 확인 후 수정하세요.</t>
  </si>
  <si>
    <t>Security</t>
  </si>
  <si>
    <t>가격, 원가, 고객명, 내부 재고 등 공개하면 안 되는 정보는 넣지 마세요.</t>
  </si>
  <si>
    <t>Cross-reference caution</t>
  </si>
  <si>
    <t>동일 사양처럼 보여도 인증, DC Bias, 수명, 단자 구조가 다를 수 있으므로 최종 승인 전 개별 검증이 필요합니다.</t>
  </si>
  <si>
    <t>Web filename</t>
  </si>
  <si>
    <t>hv-mlcc-data.xlsx</t>
  </si>
  <si>
    <t>검토 완료</t>
  </si>
  <si>
    <t>Hidden</t>
  </si>
  <si>
    <t>Similar</t>
  </si>
  <si>
    <t>조건부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</si>
</sst>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62B6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K16">
  <tableColumns count="11">
    <tableColumn id="1" xr3:uid="{00000000-0010-0000-0000-000001000000}" name="PartNumber"/>
    <tableColumn id="2" xr3:uid="{00000000-0010-0000-0000-000002000000}" name="Series"/>
    <tableColumn id="3" xr3:uid="{00000000-0010-0000-0000-000003000000}" name="Package"/>
    <tableColumn id="4" xr3:uid="{00000000-0010-0000-0000-000004000000}" name="Voltage"/>
    <tableColumn id="5" xr3:uid="{00000000-0010-0000-0000-000005000000}" name="Capacitance"/>
    <tableColumn id="6" xr3:uid="{00000000-0010-0000-0000-000006000000}" name="Temperature"/>
    <tableColumn id="7" xr3:uid="{00000000-0010-0000-0000-000007000000}" name="Dielectric"/>
    <tableColumn id="8" xr3:uid="{00000000-0010-0000-0000-000008000000}" name="Tolerance"/>
    <tableColumn id="9" xr3:uid="{00000000-0010-0000-0000-000009000000}" name="Remark"/>
    <tableColumn id="10" xr3:uid="{00000000-0010-0000-0000-00000A000000}" name="DatasheetURL"/>
    <tableColumn id="11" xr3:uid="{00000000-0010-0000-0000-00000B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ssReferenceTable" displayName="CrossReferenceTable" ref="A1:I3">
  <tableColumns count="9">
    <tableColumn id="1" xr3:uid="{00000000-0010-0000-0100-000001000000}" name="CompetitorManufacturer"/>
    <tableColumn id="2" xr3:uid="{00000000-0010-0000-0100-000002000000}" name="CompetitorPartNumber"/>
    <tableColumn id="3" xr3:uid="{00000000-0010-0000-0100-000003000000}" name="NormalizedCompetitorPart"/>
    <tableColumn id="4" xr3:uid="{00000000-0010-0000-0100-000004000000}" name="PDCCandidate"/>
    <tableColumn id="5" xr3:uid="{00000000-0010-0000-0100-000005000000}" name="MatchType"/>
    <tableColumn id="6" xr3:uid="{00000000-0010-0000-0100-000006000000}" name="Confidence"/>
    <tableColumn id="7" xr3:uid="{00000000-0010-0000-0100-000007000000}" name="ReviewStatus"/>
    <tableColumn id="8" xr3:uid="{00000000-0010-0000-0100-000008000000}" name="Notes"/>
    <tableColumn id="9" xr3:uid="{00000000-0010-0000-01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zoomScaleSheetLayoutView="100" workbookViewId="0"/>
  </sheetViews>
  <sheetFormatPr defaultRowHeight="15"/>
  <cols>
    <col min="1" max="1" width="25" customWidth="1"/>
    <col min="2" max="2" width="10" customWidth="1"/>
    <col min="3" max="4" width="11" customWidth="1"/>
    <col min="5" max="5" width="14" customWidth="1"/>
    <col min="6" max="6" width="18" customWidth="1"/>
    <col min="7" max="8" width="12" customWidth="1"/>
    <col min="9" max="9" width="22" customWidth="1"/>
    <col min="10" max="10" width="28" customWidth="1"/>
    <col min="11" max="11" width="1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>
      <c r="A3" t="s">
        <v>21</v>
      </c>
      <c r="B3" t="s">
        <v>12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18</v>
      </c>
      <c r="I3" t="s">
        <v>19</v>
      </c>
      <c r="K3" t="s">
        <v>20</v>
      </c>
    </row>
    <row r="4" spans="1:11">
      <c r="A4" t="s">
        <v>23</v>
      </c>
      <c r="B4" t="s">
        <v>12</v>
      </c>
      <c r="C4" t="s">
        <v>13</v>
      </c>
      <c r="D4" t="s">
        <v>24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K4" t="s">
        <v>20</v>
      </c>
    </row>
    <row r="5" spans="1:11">
      <c r="A5" t="s">
        <v>25</v>
      </c>
      <c r="B5" t="s">
        <v>12</v>
      </c>
      <c r="C5" t="s">
        <v>13</v>
      </c>
      <c r="D5" t="s">
        <v>14</v>
      </c>
      <c r="E5" t="s">
        <v>26</v>
      </c>
      <c r="F5" t="s">
        <v>16</v>
      </c>
      <c r="G5" t="s">
        <v>27</v>
      </c>
      <c r="H5" t="s">
        <v>28</v>
      </c>
      <c r="I5" t="s">
        <v>19</v>
      </c>
      <c r="K5" t="s">
        <v>20</v>
      </c>
    </row>
    <row r="6" spans="1:11">
      <c r="A6" t="s">
        <v>29</v>
      </c>
      <c r="B6" t="s">
        <v>12</v>
      </c>
      <c r="C6" t="s">
        <v>13</v>
      </c>
      <c r="D6" t="s">
        <v>14</v>
      </c>
      <c r="E6" t="s">
        <v>30</v>
      </c>
      <c r="F6" t="s">
        <v>16</v>
      </c>
      <c r="G6" t="s">
        <v>27</v>
      </c>
      <c r="H6" t="s">
        <v>28</v>
      </c>
      <c r="I6" t="s">
        <v>19</v>
      </c>
      <c r="K6" t="s">
        <v>20</v>
      </c>
    </row>
    <row r="7" spans="1:11">
      <c r="A7" t="s">
        <v>31</v>
      </c>
      <c r="B7" t="s">
        <v>12</v>
      </c>
      <c r="C7" t="s">
        <v>13</v>
      </c>
      <c r="D7" t="s">
        <v>14</v>
      </c>
      <c r="E7" t="s">
        <v>32</v>
      </c>
      <c r="F7" t="s">
        <v>16</v>
      </c>
      <c r="G7" t="s">
        <v>27</v>
      </c>
      <c r="H7" t="s">
        <v>28</v>
      </c>
      <c r="I7" t="s">
        <v>19</v>
      </c>
      <c r="K7" t="s">
        <v>20</v>
      </c>
    </row>
    <row r="8" spans="1:11">
      <c r="A8" t="s">
        <v>33</v>
      </c>
      <c r="B8" t="s">
        <v>12</v>
      </c>
      <c r="C8" t="s">
        <v>13</v>
      </c>
      <c r="D8" t="s">
        <v>24</v>
      </c>
      <c r="E8" t="s">
        <v>34</v>
      </c>
      <c r="F8" t="s">
        <v>16</v>
      </c>
      <c r="G8" t="s">
        <v>27</v>
      </c>
      <c r="H8" t="s">
        <v>28</v>
      </c>
      <c r="I8" t="s">
        <v>19</v>
      </c>
      <c r="K8" t="s">
        <v>20</v>
      </c>
    </row>
    <row r="9" spans="1:11">
      <c r="A9" t="s">
        <v>35</v>
      </c>
      <c r="B9" t="s">
        <v>36</v>
      </c>
      <c r="C9" t="s">
        <v>37</v>
      </c>
      <c r="D9" t="s">
        <v>38</v>
      </c>
      <c r="E9" t="s">
        <v>26</v>
      </c>
      <c r="F9" t="s">
        <v>16</v>
      </c>
      <c r="G9" t="s">
        <v>27</v>
      </c>
      <c r="H9" t="s">
        <v>28</v>
      </c>
      <c r="I9" t="s">
        <v>39</v>
      </c>
      <c r="K9" t="s">
        <v>20</v>
      </c>
    </row>
    <row r="10" spans="1:11">
      <c r="A10" t="s">
        <v>40</v>
      </c>
      <c r="B10" t="s">
        <v>36</v>
      </c>
      <c r="C10" t="s">
        <v>37</v>
      </c>
      <c r="D10" t="s">
        <v>38</v>
      </c>
      <c r="E10" t="s">
        <v>41</v>
      </c>
      <c r="F10" t="s">
        <v>16</v>
      </c>
      <c r="G10" t="s">
        <v>27</v>
      </c>
      <c r="H10" t="s">
        <v>28</v>
      </c>
      <c r="I10" t="s">
        <v>39</v>
      </c>
      <c r="K10" t="s">
        <v>20</v>
      </c>
    </row>
    <row r="11" spans="1:11">
      <c r="A11" t="s">
        <v>42</v>
      </c>
      <c r="B11" t="s">
        <v>12</v>
      </c>
      <c r="C11" t="s">
        <v>37</v>
      </c>
      <c r="D11" t="s">
        <v>24</v>
      </c>
      <c r="E11" t="s">
        <v>26</v>
      </c>
      <c r="F11" t="s">
        <v>16</v>
      </c>
      <c r="G11" t="s">
        <v>27</v>
      </c>
      <c r="H11" t="s">
        <v>28</v>
      </c>
      <c r="I11" t="s">
        <v>19</v>
      </c>
      <c r="K11" t="s">
        <v>20</v>
      </c>
    </row>
    <row r="12" spans="1:11">
      <c r="A12" t="s">
        <v>43</v>
      </c>
      <c r="B12" t="s">
        <v>12</v>
      </c>
      <c r="C12" t="s">
        <v>37</v>
      </c>
      <c r="D12" t="s">
        <v>44</v>
      </c>
      <c r="E12" t="s">
        <v>45</v>
      </c>
      <c r="F12" t="s">
        <v>16</v>
      </c>
      <c r="G12" t="s">
        <v>27</v>
      </c>
      <c r="H12" t="s">
        <v>28</v>
      </c>
      <c r="I12" t="s">
        <v>19</v>
      </c>
      <c r="K12" t="s">
        <v>20</v>
      </c>
    </row>
    <row r="13" spans="1:11">
      <c r="A13" t="s">
        <v>46</v>
      </c>
      <c r="B13" t="s">
        <v>12</v>
      </c>
      <c r="C13" t="s">
        <v>37</v>
      </c>
      <c r="D13" t="s">
        <v>44</v>
      </c>
      <c r="E13" t="s">
        <v>47</v>
      </c>
      <c r="F13" t="s">
        <v>16</v>
      </c>
      <c r="G13" t="s">
        <v>17</v>
      </c>
      <c r="H13" t="s">
        <v>18</v>
      </c>
      <c r="I13" t="s">
        <v>19</v>
      </c>
      <c r="K13" t="s">
        <v>20</v>
      </c>
    </row>
    <row r="14" spans="1:11">
      <c r="A14" t="s">
        <v>48</v>
      </c>
      <c r="B14" t="s">
        <v>12</v>
      </c>
      <c r="C14" t="s">
        <v>49</v>
      </c>
      <c r="D14" t="s">
        <v>44</v>
      </c>
      <c r="E14" t="s">
        <v>26</v>
      </c>
      <c r="F14" t="s">
        <v>16</v>
      </c>
      <c r="G14" t="s">
        <v>27</v>
      </c>
      <c r="H14" t="s">
        <v>28</v>
      </c>
      <c r="I14" t="s">
        <v>19</v>
      </c>
      <c r="K14" t="s">
        <v>20</v>
      </c>
    </row>
    <row r="15" spans="1:11">
      <c r="A15" t="s">
        <v>50</v>
      </c>
      <c r="B15" t="s">
        <v>12</v>
      </c>
      <c r="C15" t="s">
        <v>51</v>
      </c>
      <c r="D15" t="s">
        <v>44</v>
      </c>
      <c r="E15" t="s">
        <v>30</v>
      </c>
      <c r="F15" t="s">
        <v>16</v>
      </c>
      <c r="G15" t="s">
        <v>27</v>
      </c>
      <c r="H15" t="s">
        <v>28</v>
      </c>
      <c r="I15" t="s">
        <v>19</v>
      </c>
      <c r="K15" t="s">
        <v>20</v>
      </c>
    </row>
    <row r="16" spans="1:11">
      <c r="A16" t="s">
        <v>52</v>
      </c>
      <c r="B16" t="s">
        <v>12</v>
      </c>
      <c r="C16" t="s">
        <v>53</v>
      </c>
      <c r="D16" t="s">
        <v>24</v>
      </c>
      <c r="E16" t="s">
        <v>54</v>
      </c>
      <c r="F16" t="s">
        <v>16</v>
      </c>
      <c r="G16" t="s">
        <v>27</v>
      </c>
      <c r="H16" t="s">
        <v>28</v>
      </c>
      <c r="I16" t="s">
        <v>19</v>
      </c>
      <c r="K16" t="s">
        <v>20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Lists!$A$2:$A$4</xm:f>
          </x14:formula1>
          <xm:sqref>K2:K500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zoomScaleNormal="100" zoomScaleSheetLayoutView="100" workbookViewId="0"/>
  </sheetViews>
  <sheetFormatPr defaultRowHeight="15"/>
  <cols>
    <col min="1" max="1" width="22" customWidth="1"/>
    <col min="2" max="2" width="28" customWidth="1"/>
    <col min="3" max="3" width="30" customWidth="1"/>
    <col min="4" max="4" width="24" customWidth="1"/>
    <col min="5" max="5" width="13" customWidth="1"/>
    <col min="6" max="6" width="12" customWidth="1"/>
    <col min="7" max="7" width="15" customWidth="1"/>
    <col min="8" max="8" width="38" customWidth="1"/>
    <col min="9" max="9" width="12" customWidth="1"/>
  </cols>
  <sheetData>
    <row r="1" spans="1:9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10</v>
      </c>
    </row>
    <row r="2" spans="1:9">
      <c r="C2" t="str">
        <f>UPPER(SUBSTITUTE(SUBSTITUTE(B2,"-","")," ",""))</f>
        <v/>
      </c>
      <c r="E2" t="s">
        <v>63</v>
      </c>
      <c r="G2" t="s">
        <v>64</v>
      </c>
      <c r="H2" t="s">
        <v>65</v>
      </c>
      <c r="I2" t="s">
        <v>66</v>
      </c>
    </row>
    <row r="3" spans="1:9">
      <c r="C3" t="str">
        <f>UPPER(SUBSTITUTE(SUBSTITUTE(B3,"-","")," ",""))</f>
        <v/>
      </c>
      <c r="E3" t="s">
        <v>67</v>
      </c>
      <c r="G3" t="s">
        <v>64</v>
      </c>
      <c r="H3" t="s">
        <v>68</v>
      </c>
      <c r="I3" t="s">
        <v>66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Lists!$B$2:$B$4</xm:f>
          </x14:formula1>
          <xm:sqref>E2:E500</xm:sqref>
        </x14:dataValidation>
        <x14:dataValidation type="list" xr:uid="{00000000-0002-0000-0100-000001000000}">
          <x14:formula1>
            <xm:f>Lists!$C$2:$C$4</xm:f>
          </x14:formula1>
          <xm:sqref>G2:G500</xm:sqref>
        </x14:dataValidation>
        <x14:dataValidation type="list" xr:uid="{00000000-0002-0000-0100-000002000000}">
          <x14:formula1>
            <xm:f>Lists!$A$2:$A$4</xm:f>
          </x14:formula1>
          <xm:sqref>I2:I500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zoomScaleSheetLayoutView="100" workbookViewId="0"/>
  </sheetViews>
  <sheetFormatPr defaultRowHeight="15"/>
  <cols>
    <col min="1" max="1" width="24" customWidth="1"/>
    <col min="2" max="2" width="70" customWidth="1"/>
  </cols>
  <sheetData>
    <row r="1" spans="1:2">
      <c r="A1" s="1" t="s">
        <v>69</v>
      </c>
      <c r="B1" s="1"/>
    </row>
    <row r="2" spans="1:2">
      <c r="A2" s="1" t="s">
        <v>70</v>
      </c>
      <c r="B2" s="1" t="s">
        <v>71</v>
      </c>
    </row>
    <row r="3" spans="1:2">
      <c r="A3" t="s">
        <v>72</v>
      </c>
      <c r="B3" t="s">
        <v>73</v>
      </c>
    </row>
    <row r="4" spans="1:2">
      <c r="A4" t="s">
        <v>74</v>
      </c>
      <c r="B4" t="s">
        <v>75</v>
      </c>
    </row>
    <row r="5" spans="1:2">
      <c r="A5" t="s">
        <v>5</v>
      </c>
      <c r="B5" t="s">
        <v>76</v>
      </c>
    </row>
    <row r="6" spans="1:2">
      <c r="A6" t="s">
        <v>77</v>
      </c>
      <c r="B6" t="s">
        <v>78</v>
      </c>
    </row>
    <row r="7" spans="1:2">
      <c r="A7" t="s">
        <v>79</v>
      </c>
      <c r="B7" t="s">
        <v>80</v>
      </c>
    </row>
    <row r="8" spans="1:2">
      <c r="A8" t="s">
        <v>81</v>
      </c>
      <c r="B8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Normal="100" zoomScaleSheetLayoutView="100" workbookViewId="0"/>
  </sheetViews>
  <sheetFormatPr defaultRowHeight="15"/>
  <cols>
    <col min="1" max="3" width="18" customWidth="1"/>
  </cols>
  <sheetData>
    <row r="1" spans="1:3">
      <c r="A1" s="1" t="s">
        <v>10</v>
      </c>
      <c r="B1" s="1" t="s">
        <v>59</v>
      </c>
      <c r="C1" s="1" t="s">
        <v>61</v>
      </c>
    </row>
    <row r="2" spans="1:3">
      <c r="A2" t="s">
        <v>66</v>
      </c>
      <c r="B2" t="s">
        <v>63</v>
      </c>
      <c r="C2" t="s">
        <v>64</v>
      </c>
    </row>
    <row r="3" spans="1:3">
      <c r="A3" t="s">
        <v>20</v>
      </c>
      <c r="B3" t="s">
        <v>67</v>
      </c>
      <c r="C3" t="s">
        <v>83</v>
      </c>
    </row>
    <row r="4" spans="1:3">
      <c r="A4" t="s">
        <v>84</v>
      </c>
      <c r="B4" t="s">
        <v>85</v>
      </c>
      <c r="C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권 인경</dc:creator>
  <cp:keywords/>
  <dc:description/>
  <cp:lastModifiedBy/>
  <cp:revision/>
  <dcterms:created xsi:type="dcterms:W3CDTF">2026-09-29T08:04:01Z</dcterms:created>
  <dcterms:modified xsi:type="dcterms:W3CDTF">2026-09-29T08:05:40Z</dcterms:modified>
  <cp:category/>
  <cp:contentStatus/>
</cp:coreProperties>
</file>