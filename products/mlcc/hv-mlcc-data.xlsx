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/>
  <xr:revisionPtr revIDLastSave="0" documentId="8_{51A45456-E489-49D6-B1B3-4A467412820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<sst xmlns="http://schemas.openxmlformats.org/spreadsheetml/2006/main" count="174" uniqueCount="84">
  <si>
    <t>PartNumber</t>
  </si>
  <si>
    <t>Series</t>
  </si>
  <si>
    <t>Package</t>
  </si>
  <si>
    <t>Voltage</t>
  </si>
  <si>
    <t>Capacitance</t>
  </si>
  <si>
    <t>Dielectric</t>
  </si>
  <si>
    <t>Tolerance</t>
  </si>
  <si>
    <t>DatasheetURL</t>
  </si>
  <si>
    <t>EnvironmentalURL</t>
  </si>
  <si>
    <t>Status</t>
  </si>
  <si>
    <t>FV31N101J102PXG</t>
  </si>
  <si>
    <t>FV</t>
  </si>
  <si>
    <t>1206</t>
  </si>
  <si>
    <t>1kV</t>
  </si>
  <si>
    <t>100pF</t>
  </si>
  <si>
    <t>NPO</t>
  </si>
  <si>
    <t>±5%</t>
  </si>
  <si>
    <t>Published</t>
  </si>
  <si>
    <t>FV31N470J102PXG</t>
  </si>
  <si>
    <t>47pF</t>
  </si>
  <si>
    <t>FV31N101J202PXG</t>
  </si>
  <si>
    <t>2kV</t>
  </si>
  <si>
    <t>FV31X102K102PXG</t>
  </si>
  <si>
    <t>1nF</t>
  </si>
  <si>
    <t>X7R</t>
  </si>
  <si>
    <t>±10%</t>
  </si>
  <si>
    <t>FV31X103K102EMG</t>
  </si>
  <si>
    <t>10nF</t>
  </si>
  <si>
    <t>FV31X222K102PXG</t>
  </si>
  <si>
    <t>2.2nF</t>
  </si>
  <si>
    <t>FV31X472K202EEQ</t>
  </si>
  <si>
    <t>4.7nF</t>
  </si>
  <si>
    <t>FK42X102K502EFQ</t>
  </si>
  <si>
    <t>FK</t>
  </si>
  <si>
    <t>1808</t>
  </si>
  <si>
    <t>5kV</t>
  </si>
  <si>
    <t>FK42X471K502EFQ</t>
  </si>
  <si>
    <t>470pF</t>
  </si>
  <si>
    <t>FV42X102K202ECG</t>
  </si>
  <si>
    <t>FV42X152K302EFG</t>
  </si>
  <si>
    <t>3kV</t>
  </si>
  <si>
    <t>1.5nF</t>
  </si>
  <si>
    <t>FV42N680J302ECG</t>
  </si>
  <si>
    <t>68pF</t>
  </si>
  <si>
    <t>FV43X102K302EEG</t>
  </si>
  <si>
    <t>1812</t>
  </si>
  <si>
    <t>FV55X103K302EGQ</t>
  </si>
  <si>
    <t>2220</t>
  </si>
  <si>
    <t>FV56X333K202EGG</t>
  </si>
  <si>
    <t>2225</t>
  </si>
  <si>
    <t>33nF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</si>
  <si>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</si>
  <si>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</si>
  <si>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</si>
  <si>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</si>
  <si>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</si>
  <si>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</si>
  <si>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</si>
  <si>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</si>
  <si>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</si>
  <si>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</si>
  <si>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</si>
  <si>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</si>
  <si>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</si>
  <si>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</si>
  <si>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HV MLCC Search Data Guide</t>
  </si>
  <si>
    <t>Sheet</t>
  </si>
  <si>
    <t>Purpose</t>
  </si>
  <si>
    <t>Products</t>
  </si>
  <si>
    <t>제품 사양 필터 검색용. 공개할 행은 Status를 Published로 설정합니다.</t>
  </si>
  <si>
    <t>CrossReference</t>
  </si>
  <si>
    <t>기존 제조사 품번 검색용. 검증된 매핑만 입력하고 Status를 Published로 설정합니다.</t>
  </si>
  <si>
    <t>Temperature</t>
  </si>
  <si>
    <t>현재 원본 데이터에 온도 정보가 없어 '확인 필요'로 표시했습니다. 공식 데이터시트 확인 후 수정하세요.</t>
  </si>
  <si>
    <t>Security</t>
  </si>
  <si>
    <t>가격, 원가, 고객명, 내부 재고 등 공개하면 안 되는 정보는 넣지 마세요.</t>
  </si>
  <si>
    <t>Cross-reference caution</t>
  </si>
  <si>
    <t>동일 사양처럼 보여도 인증, DC Bias, 수명, 단자 구조가 다를 수 있으므로 최종 승인 전 개별 검증이 필요합니다.</t>
  </si>
  <si>
    <t>Web filename</t>
  </si>
  <si>
    <t>hv-mlcc-data.xlsx</t>
  </si>
  <si>
    <t>검토 완료</t>
  </si>
  <si>
    <t>Hidden</t>
  </si>
  <si>
    <t>Similar</t>
  </si>
  <si>
    <t>조건부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</si>
</sst>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62B63"/>
      </patternFill>
    </fill>
    <fill>
      <patternFill patternType="solid">
        <fgColor rgb="FF00457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roductsTable" displayName="ProductsTable" ref="A1:J16">
  <tableColumns count="10">
    <tableColumn id="1" xr3:uid="{00000000-0010-0000-0000-000001000000}" name="PartNumber"/>
    <tableColumn id="2" xr3:uid="{00000000-0010-0000-0000-000002000000}" name="Series"/>
    <tableColumn id="3" xr3:uid="{00000000-0010-0000-0000-000003000000}" name="Package"/>
    <tableColumn id="4" xr3:uid="{00000000-0010-0000-0000-000004000000}" name="Voltage"/>
    <tableColumn id="5" xr3:uid="{00000000-0010-0000-0000-000005000000}" name="Capacitance"/>
    <tableColumn id="6" xr3:uid="{00000000-0010-0000-0000-000006000000}" name="Dielectric"/>
    <tableColumn id="7" xr3:uid="{00000000-0010-0000-0000-000007000000}" name="Tolerance"/>
    <tableColumn id="8" xr3:uid="{00000000-0010-0000-0000-000008000000}" name="DatasheetURL"/>
    <tableColumn id="9" xr3:uid="{00000000-0010-0000-0000-000009000000}" name="EnvironmentalURL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tabSelected="1" zoomScaleNormal="100" zoomScaleSheetLayoutView="100" workbookViewId="0"/>
  </sheetViews>
  <sheetFormatPr defaultRowHeight="13.9"/>
  <cols>
    <col min="1" max="1" width="22" customWidth="1"/>
    <col min="2" max="2" width="10" customWidth="1"/>
    <col min="3" max="4" width="12" customWidth="1"/>
    <col min="5" max="5" width="14" customWidth="1"/>
    <col min="6" max="7" width="12" customWidth="1"/>
    <col min="8" max="9" width="30" customWidth="1"/>
    <col min="10" max="10" width="12" customWidth="1"/>
  </cols>
  <sheetData>
    <row r="1" spans="1:10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3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/>
      <c r="I2" s="3"/>
      <c r="J2" s="3" t="s">
        <v>17</v>
      </c>
    </row>
    <row r="3" spans="1:10">
      <c r="A3" s="3" t="s">
        <v>18</v>
      </c>
      <c r="B3" s="3" t="s">
        <v>11</v>
      </c>
      <c r="C3" s="3" t="s">
        <v>12</v>
      </c>
      <c r="D3" s="3" t="s">
        <v>13</v>
      </c>
      <c r="E3" s="3" t="s">
        <v>19</v>
      </c>
      <c r="F3" s="3" t="s">
        <v>15</v>
      </c>
      <c r="G3" s="3" t="s">
        <v>16</v>
      </c>
      <c r="H3" s="3"/>
      <c r="I3" s="3"/>
      <c r="J3" s="3" t="s">
        <v>17</v>
      </c>
    </row>
    <row r="4" spans="1:10">
      <c r="A4" s="3" t="s">
        <v>20</v>
      </c>
      <c r="B4" s="3" t="s">
        <v>11</v>
      </c>
      <c r="C4" s="3" t="s">
        <v>12</v>
      </c>
      <c r="D4" s="3" t="s">
        <v>21</v>
      </c>
      <c r="E4" s="3" t="s">
        <v>14</v>
      </c>
      <c r="F4" s="3" t="s">
        <v>15</v>
      </c>
      <c r="G4" s="3" t="s">
        <v>16</v>
      </c>
      <c r="H4" s="3"/>
      <c r="I4" s="3"/>
      <c r="J4" s="3" t="s">
        <v>17</v>
      </c>
    </row>
    <row r="5" spans="1:10">
      <c r="A5" s="3" t="s">
        <v>22</v>
      </c>
      <c r="B5" s="3" t="s">
        <v>11</v>
      </c>
      <c r="C5" s="3" t="s">
        <v>12</v>
      </c>
      <c r="D5" s="3" t="s">
        <v>13</v>
      </c>
      <c r="E5" s="3" t="s">
        <v>23</v>
      </c>
      <c r="F5" s="3" t="s">
        <v>24</v>
      </c>
      <c r="G5" s="3" t="s">
        <v>25</v>
      </c>
      <c r="H5" s="3"/>
      <c r="I5" s="3"/>
      <c r="J5" s="3" t="s">
        <v>17</v>
      </c>
    </row>
    <row r="6" spans="1:10">
      <c r="A6" s="3" t="s">
        <v>26</v>
      </c>
      <c r="B6" s="3" t="s">
        <v>11</v>
      </c>
      <c r="C6" s="3" t="s">
        <v>12</v>
      </c>
      <c r="D6" s="3" t="s">
        <v>13</v>
      </c>
      <c r="E6" s="3" t="s">
        <v>27</v>
      </c>
      <c r="F6" s="3" t="s">
        <v>24</v>
      </c>
      <c r="G6" s="3" t="s">
        <v>25</v>
      </c>
      <c r="H6" s="3"/>
      <c r="I6" s="3"/>
      <c r="J6" s="3" t="s">
        <v>17</v>
      </c>
    </row>
    <row r="7" spans="1:10">
      <c r="A7" s="3" t="s">
        <v>28</v>
      </c>
      <c r="B7" s="3" t="s">
        <v>11</v>
      </c>
      <c r="C7" s="3" t="s">
        <v>12</v>
      </c>
      <c r="D7" s="3" t="s">
        <v>13</v>
      </c>
      <c r="E7" s="3" t="s">
        <v>29</v>
      </c>
      <c r="F7" s="3" t="s">
        <v>24</v>
      </c>
      <c r="G7" s="3" t="s">
        <v>25</v>
      </c>
      <c r="H7" s="3"/>
      <c r="I7" s="3"/>
      <c r="J7" s="3" t="s">
        <v>17</v>
      </c>
    </row>
    <row r="8" spans="1:10">
      <c r="A8" s="3" t="s">
        <v>30</v>
      </c>
      <c r="B8" s="3" t="s">
        <v>11</v>
      </c>
      <c r="C8" s="3" t="s">
        <v>12</v>
      </c>
      <c r="D8" s="3" t="s">
        <v>21</v>
      </c>
      <c r="E8" s="3" t="s">
        <v>31</v>
      </c>
      <c r="F8" s="3" t="s">
        <v>24</v>
      </c>
      <c r="G8" s="3" t="s">
        <v>25</v>
      </c>
      <c r="H8" s="3"/>
      <c r="I8" s="3"/>
      <c r="J8" s="3" t="s">
        <v>17</v>
      </c>
    </row>
    <row r="9" spans="1:10">
      <c r="A9" s="3" t="s">
        <v>32</v>
      </c>
      <c r="B9" s="3" t="s">
        <v>33</v>
      </c>
      <c r="C9" s="3" t="s">
        <v>34</v>
      </c>
      <c r="D9" s="3" t="s">
        <v>35</v>
      </c>
      <c r="E9" s="3" t="s">
        <v>23</v>
      </c>
      <c r="F9" s="3" t="s">
        <v>24</v>
      </c>
      <c r="G9" s="3" t="s">
        <v>25</v>
      </c>
      <c r="H9" s="3"/>
      <c r="I9" s="3"/>
      <c r="J9" s="3" t="s">
        <v>17</v>
      </c>
    </row>
    <row r="10" spans="1:10">
      <c r="A10" s="3" t="s">
        <v>36</v>
      </c>
      <c r="B10" s="3" t="s">
        <v>33</v>
      </c>
      <c r="C10" s="3" t="s">
        <v>34</v>
      </c>
      <c r="D10" s="3" t="s">
        <v>35</v>
      </c>
      <c r="E10" s="3" t="s">
        <v>37</v>
      </c>
      <c r="F10" s="3" t="s">
        <v>24</v>
      </c>
      <c r="G10" s="3" t="s">
        <v>25</v>
      </c>
      <c r="H10" s="3"/>
      <c r="I10" s="3"/>
      <c r="J10" s="3" t="s">
        <v>17</v>
      </c>
    </row>
    <row r="11" spans="1:10">
      <c r="A11" s="3" t="s">
        <v>38</v>
      </c>
      <c r="B11" s="3" t="s">
        <v>11</v>
      </c>
      <c r="C11" s="3" t="s">
        <v>34</v>
      </c>
      <c r="D11" s="3" t="s">
        <v>21</v>
      </c>
      <c r="E11" s="3" t="s">
        <v>23</v>
      </c>
      <c r="F11" s="3" t="s">
        <v>24</v>
      </c>
      <c r="G11" s="3" t="s">
        <v>25</v>
      </c>
      <c r="H11" s="3"/>
      <c r="I11" s="3"/>
      <c r="J11" s="3" t="s">
        <v>17</v>
      </c>
    </row>
    <row r="12" spans="1:10">
      <c r="A12" s="3" t="s">
        <v>39</v>
      </c>
      <c r="B12" s="3" t="s">
        <v>11</v>
      </c>
      <c r="C12" s="3" t="s">
        <v>34</v>
      </c>
      <c r="D12" s="3" t="s">
        <v>40</v>
      </c>
      <c r="E12" s="3" t="s">
        <v>41</v>
      </c>
      <c r="F12" s="3" t="s">
        <v>24</v>
      </c>
      <c r="G12" s="3" t="s">
        <v>25</v>
      </c>
      <c r="H12" s="3"/>
      <c r="I12" s="3"/>
      <c r="J12" s="3" t="s">
        <v>17</v>
      </c>
    </row>
    <row r="13" spans="1:10">
      <c r="A13" s="3" t="s">
        <v>42</v>
      </c>
      <c r="B13" s="3" t="s">
        <v>11</v>
      </c>
      <c r="C13" s="3" t="s">
        <v>34</v>
      </c>
      <c r="D13" s="3" t="s">
        <v>40</v>
      </c>
      <c r="E13" s="3" t="s">
        <v>43</v>
      </c>
      <c r="F13" s="3" t="s">
        <v>15</v>
      </c>
      <c r="G13" s="3" t="s">
        <v>16</v>
      </c>
      <c r="H13" s="3"/>
      <c r="I13" s="3"/>
      <c r="J13" s="3" t="s">
        <v>17</v>
      </c>
    </row>
    <row r="14" spans="1:10">
      <c r="A14" s="3" t="s">
        <v>44</v>
      </c>
      <c r="B14" s="3" t="s">
        <v>11</v>
      </c>
      <c r="C14" s="3" t="s">
        <v>45</v>
      </c>
      <c r="D14" s="3" t="s">
        <v>40</v>
      </c>
      <c r="E14" s="3" t="s">
        <v>23</v>
      </c>
      <c r="F14" s="3" t="s">
        <v>24</v>
      </c>
      <c r="G14" s="3" t="s">
        <v>25</v>
      </c>
      <c r="H14" s="3"/>
      <c r="I14" s="3"/>
      <c r="J14" s="3" t="s">
        <v>17</v>
      </c>
    </row>
    <row r="15" spans="1:10">
      <c r="A15" s="3" t="s">
        <v>46</v>
      </c>
      <c r="B15" s="3" t="s">
        <v>11</v>
      </c>
      <c r="C15" s="3" t="s">
        <v>47</v>
      </c>
      <c r="D15" s="3" t="s">
        <v>40</v>
      </c>
      <c r="E15" s="3" t="s">
        <v>27</v>
      </c>
      <c r="F15" s="3" t="s">
        <v>24</v>
      </c>
      <c r="G15" s="3" t="s">
        <v>25</v>
      </c>
      <c r="H15" s="3"/>
      <c r="I15" s="3"/>
      <c r="J15" s="3" t="s">
        <v>17</v>
      </c>
    </row>
    <row r="16" spans="1:10">
      <c r="A16" s="3" t="s">
        <v>48</v>
      </c>
      <c r="B16" s="3" t="s">
        <v>11</v>
      </c>
      <c r="C16" s="3" t="s">
        <v>49</v>
      </c>
      <c r="D16" s="3" t="s">
        <v>21</v>
      </c>
      <c r="E16" s="3" t="s">
        <v>50</v>
      </c>
      <c r="F16" s="3" t="s">
        <v>24</v>
      </c>
      <c r="G16" s="3" t="s">
        <v>25</v>
      </c>
      <c r="H16" s="3"/>
      <c r="I16" s="3"/>
      <c r="J16" s="3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3.9"/>
  <cols>
    <col min="1" max="1" width="22" customWidth="1"/>
    <col min="2" max="2" width="28" customWidth="1"/>
    <col min="3" max="3" width="30" customWidth="1"/>
    <col min="4" max="4" width="24" customWidth="1"/>
    <col min="5" max="5" width="13" customWidth="1"/>
    <col min="6" max="6" width="12" customWidth="1"/>
    <col min="7" max="7" width="15" customWidth="1"/>
    <col min="8" max="8" width="38" customWidth="1"/>
    <col min="9" max="9" width="12" customWidth="1"/>
  </cols>
  <sheetData>
    <row r="1" spans="1:9">
      <c r="A1" s="1" t="s">
        <v>51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9</v>
      </c>
    </row>
    <row r="2" spans="1:9">
      <c r="C2" t="str">
        <f>UPPER(SUBSTITUTE(SUBSTITUTE(B2,"-","")," ",""))</f>
        <v/>
      </c>
      <c r="E2" t="s">
        <v>59</v>
      </c>
      <c r="G2" t="s">
        <v>60</v>
      </c>
      <c r="H2" t="s">
        <v>61</v>
      </c>
      <c r="I2" t="s">
        <v>62</v>
      </c>
    </row>
    <row r="3" spans="1:9">
      <c r="C3" t="str">
        <f>UPPER(SUBSTITUTE(SUBSTITUTE(B3,"-","")," ",""))</f>
        <v/>
      </c>
      <c r="E3" t="s">
        <v>63</v>
      </c>
      <c r="G3" t="s">
        <v>60</v>
      </c>
      <c r="H3" t="s">
        <v>64</v>
      </c>
      <c r="I3" t="s">
        <v>62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zoomScaleNormal="100" zoomScaleSheetLayoutView="100" workbookViewId="0"/>
  </sheetViews>
  <sheetFormatPr defaultRowHeight="13.9"/>
  <cols>
    <col min="1" max="1" width="24" customWidth="1"/>
    <col min="2" max="2" width="70" customWidth="1"/>
  </cols>
  <sheetData>
    <row r="1" spans="1:2" ht="27.6">
      <c r="A1" s="1" t="s">
        <v>65</v>
      </c>
      <c r="B1" s="1"/>
    </row>
    <row r="2" spans="1:2">
      <c r="A2" s="1" t="s">
        <v>66</v>
      </c>
      <c r="B2" s="1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 t="s">
        <v>75</v>
      </c>
    </row>
    <row r="7" spans="1:2">
      <c r="A7" t="s">
        <v>76</v>
      </c>
      <c r="B7" t="s">
        <v>77</v>
      </c>
    </row>
    <row r="8" spans="1:2">
      <c r="A8" t="s">
        <v>78</v>
      </c>
      <c r="B8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zoomScaleSheetLayoutView="100" workbookViewId="0"/>
  </sheetViews>
  <sheetFormatPr defaultRowHeight="13.9"/>
  <cols>
    <col min="1" max="3" width="18" customWidth="1"/>
  </cols>
  <sheetData>
    <row r="1" spans="1:3">
      <c r="A1" s="1" t="s">
        <v>9</v>
      </c>
      <c r="B1" s="1" t="s">
        <v>55</v>
      </c>
      <c r="C1" s="1" t="s">
        <v>57</v>
      </c>
    </row>
    <row r="2" spans="1:3">
      <c r="A2" t="s">
        <v>62</v>
      </c>
      <c r="B2" t="s">
        <v>59</v>
      </c>
      <c r="C2" t="s">
        <v>60</v>
      </c>
    </row>
    <row r="3" spans="1:3">
      <c r="A3" t="s">
        <v>17</v>
      </c>
      <c r="B3" t="s">
        <v>63</v>
      </c>
      <c r="C3" t="s">
        <v>80</v>
      </c>
    </row>
    <row r="4" spans="1:3">
      <c r="A4" t="s">
        <v>81</v>
      </c>
      <c r="B4" t="s">
        <v>82</v>
      </c>
      <c r="C4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/>
  <cp:revision/>
  <dcterms:created xsi:type="dcterms:W3CDTF">2026-09-30T00:57:11Z</dcterms:created>
  <dcterms:modified xsi:type="dcterms:W3CDTF">2026-09-30T01:01:09Z</dcterms:modified>
  <cp:category/>
  <cp:contentStatus/>
</cp:coreProperties>
</file>